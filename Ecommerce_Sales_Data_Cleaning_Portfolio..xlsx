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ani\Downloads\"/>
    </mc:Choice>
  </mc:AlternateContent>
  <xr:revisionPtr revIDLastSave="0" documentId="13_ncr:1_{DCDB9080-8640-48CF-B452-41F247E88063}" xr6:coauthVersionLast="47" xr6:coauthVersionMax="47" xr10:uidLastSave="{00000000-0000-0000-0000-000000000000}"/>
  <bookViews>
    <workbookView xWindow="-108" yWindow="-108" windowWidth="23256" windowHeight="12456" activeTab="2" xr2:uid="{6B5D4C7B-F192-4FEA-AA11-98ECD52635DE}"/>
  </bookViews>
  <sheets>
    <sheet name="RAW_DATA" sheetId="2" r:id="rId1"/>
    <sheet name="CLEAN_DATA" sheetId="3" r:id="rId2"/>
    <sheet name="README" sheetId="4" r:id="rId3"/>
    <sheet name="CLEANING_LO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3" l="1"/>
  <c r="M17" i="3"/>
  <c r="M15" i="3"/>
  <c r="L4" i="3"/>
  <c r="L5" i="3"/>
  <c r="L6" i="3"/>
  <c r="L7" i="3"/>
  <c r="L8" i="3"/>
  <c r="L9" i="3"/>
  <c r="L10" i="3"/>
  <c r="L11" i="3"/>
  <c r="L3" i="3"/>
  <c r="M16" i="3"/>
  <c r="H6" i="3"/>
  <c r="J6" i="3" s="1"/>
</calcChain>
</file>

<file path=xl/sharedStrings.xml><?xml version="1.0" encoding="utf-8"?>
<sst xmlns="http://schemas.openxmlformats.org/spreadsheetml/2006/main" count="142" uniqueCount="79">
  <si>
    <t>Order ID</t>
  </si>
  <si>
    <t>Customer</t>
  </si>
  <si>
    <t>Product</t>
  </si>
  <si>
    <t>Category</t>
  </si>
  <si>
    <t>Date</t>
  </si>
  <si>
    <t>Quantity</t>
  </si>
  <si>
    <t>Price</t>
  </si>
  <si>
    <t>Revenue</t>
  </si>
  <si>
    <t>Cost</t>
  </si>
  <si>
    <t>Region</t>
  </si>
  <si>
    <t>Profit</t>
  </si>
  <si>
    <t>Rahul Sharma</t>
  </si>
  <si>
    <t>Laptop</t>
  </si>
  <si>
    <t>Electronics</t>
  </si>
  <si>
    <t>South</t>
  </si>
  <si>
    <t>Priya</t>
  </si>
  <si>
    <t>Mouse</t>
  </si>
  <si>
    <t>AMIT</t>
  </si>
  <si>
    <t>Keyboard</t>
  </si>
  <si>
    <t>North</t>
  </si>
  <si>
    <t>Chair</t>
  </si>
  <si>
    <t>Furniture</t>
  </si>
  <si>
    <t>West</t>
  </si>
  <si>
    <t>priya</t>
  </si>
  <si>
    <t>south</t>
  </si>
  <si>
    <t>Neha</t>
  </si>
  <si>
    <t>Desk</t>
  </si>
  <si>
    <t>East</t>
  </si>
  <si>
    <t>ARUN</t>
  </si>
  <si>
    <t>Monitor</t>
  </si>
  <si>
    <t>west</t>
  </si>
  <si>
    <t>Kavya</t>
  </si>
  <si>
    <t>SOUTH</t>
  </si>
  <si>
    <t>Data Quality Status</t>
  </si>
  <si>
    <t>Amit</t>
  </si>
  <si>
    <t>Arun</t>
  </si>
  <si>
    <t>DATA QUALITY SUMMARY</t>
  </si>
  <si>
    <t>TOTAL ORDERS</t>
  </si>
  <si>
    <t>DUPLICATE ORDERS REMOVED</t>
  </si>
  <si>
    <t>MISSING QUANTITY</t>
  </si>
  <si>
    <t>RECORDS REQUIRING REVIEW</t>
  </si>
  <si>
    <t>SALES DATA – CLEANED DATASET</t>
  </si>
  <si>
    <t>ORDER ID</t>
  </si>
  <si>
    <t>E-COMMERCE SALES DATA CLEANING</t>
  </si>
  <si>
    <t>PROJECT OVERVIEW</t>
  </si>
  <si>
    <t>This workbook demonstrates the cleaning and validation of sample e-commerce sales data.</t>
  </si>
  <si>
    <t>WORKBOOK CONTENTS</t>
  </si>
  <si>
    <t>RAW_DATA – Original sample dataset</t>
  </si>
  <si>
    <t>CLEAN_DATA – Standardized dataset after cleaning</t>
  </si>
  <si>
    <t>CLEANING SUMMARY</t>
  </si>
  <si>
    <t>Duplicate records identified and removed</t>
  </si>
  <si>
    <t>Missing values identified and flagged for review</t>
  </si>
  <si>
    <t>Text fields standardized for consistency</t>
  </si>
  <si>
    <t>Revenue and profit calculated from available data</t>
  </si>
  <si>
    <t>IMPORTANT NOTE</t>
  </si>
  <si>
    <t>This is a portfolio demonstration using sample data. Missing values have not been guessed or fabricated.</t>
  </si>
  <si>
    <t>Issue ID</t>
  </si>
  <si>
    <t>Data Issue</t>
  </si>
  <si>
    <t>Location</t>
  </si>
  <si>
    <t>Action Taken</t>
  </si>
  <si>
    <t>Status</t>
  </si>
  <si>
    <t>Duplicate order record</t>
  </si>
  <si>
    <t>Order 1003</t>
  </si>
  <si>
    <t>Removed duplicate from cleaned dataset</t>
  </si>
  <si>
    <t>Resolved</t>
  </si>
  <si>
    <t>Missing quantity</t>
  </si>
  <si>
    <t>Order 1004</t>
  </si>
  <si>
    <t>Kept value blank and flagged for review</t>
  </si>
  <si>
    <t>Needs review</t>
  </si>
  <si>
    <t>Inconsistent text formatting</t>
  </si>
  <si>
    <t>Customer/Region fields</t>
  </si>
  <si>
    <t>Standardized text values for consistency</t>
  </si>
  <si>
    <t>PROJECT DELIVERABLES</t>
  </si>
  <si>
    <t>Cleaned and standardized sales dataset</t>
  </si>
  <si>
    <t>Data quality flags for missing values</t>
  </si>
  <si>
    <t>Cleaning log documenting issues and actions</t>
  </si>
  <si>
    <t>Automated data quality summary</t>
  </si>
  <si>
    <t>TOOLS USED</t>
  </si>
  <si>
    <t>Microsoft Excel – formulas, data cleaning, tables and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</si>
</sst>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5" borderId="0" xfId="0" applyFont="1" applyFill="1"/>
    <xf numFmtId="0" fontId="2" fillId="0" borderId="0" xfId="0" applyFont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right" vertical="center" wrapText="1"/>
    </xf>
    <xf numFmtId="0" fontId="0" fillId="3" borderId="4" xfId="0" applyFill="1" applyBorder="1" applyAlignment="1">
      <alignment vertical="center" wrapText="1"/>
    </xf>
    <xf numFmtId="14" fontId="0" fillId="3" borderId="4" xfId="0" applyNumberFormat="1" applyFill="1" applyBorder="1" applyAlignment="1">
      <alignment vertical="center" wrapText="1"/>
    </xf>
    <xf numFmtId="0" fontId="0" fillId="3" borderId="4" xfId="0" applyFill="1" applyBorder="1" applyAlignment="1">
      <alignment horizontal="right" vertical="center" wrapText="1"/>
    </xf>
    <xf numFmtId="0" fontId="0" fillId="3" borderId="5" xfId="0" applyFill="1" applyBorder="1"/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164" fontId="0" fillId="3" borderId="4" xfId="0" applyNumberFormat="1" applyFill="1" applyBorder="1" applyAlignment="1">
      <alignment vertical="center" wrapText="1"/>
    </xf>
    <xf numFmtId="0" fontId="0" fillId="4" borderId="4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3" borderId="2" xfId="0" applyFill="1" applyBorder="1" applyAlignment="1">
      <alignment vertical="center" wrapText="1"/>
    </xf>
    <xf numFmtId="16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horizontal="right" vertical="center" wrapText="1"/>
    </xf>
    <xf numFmtId="0" fontId="4" fillId="6" borderId="6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2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2" fontId="0" fillId="3" borderId="4" xfId="0" applyNumberFormat="1" applyFill="1" applyBorder="1" applyAlignment="1">
      <alignment horizontal="right" vertical="center" wrapText="1"/>
    </xf>
    <xf numFmtId="2" fontId="0" fillId="0" borderId="4" xfId="0" applyNumberFormat="1" applyBorder="1" applyAlignment="1">
      <alignment horizontal="right" vertical="center" wrapText="1"/>
    </xf>
    <xf numFmtId="2" fontId="0" fillId="4" borderId="4" xfId="0" applyNumberFormat="1" applyFill="1" applyBorder="1" applyAlignment="1">
      <alignment horizontal="right" vertical="center" wrapText="1"/>
    </xf>
    <xf numFmtId="2" fontId="0" fillId="3" borderId="2" xfId="0" applyNumberFormat="1" applyFill="1" applyBorder="1" applyAlignment="1">
      <alignment horizontal="right"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53C9AF-18CE-4FF3-9638-FFBA301D7508}" name="Table1" displayName="Table1" ref="A1:E2" totalsRowShown="0" headerRowDxfId="0" dataDxfId="1">
  <autoFilter ref="A1:E2" xr:uid="{8D53C9AF-18CE-4FF3-9638-FFBA301D7508}"/>
  <tableColumns count="5">
    <tableColumn id="1" xr3:uid="{9E0E9373-01EA-4DC9-A42E-8581160B004F}" name="Issue ID" dataDxfId="6"/>
    <tableColumn id="2" xr3:uid="{7F258DE6-D7D0-47CF-806C-65CE3E4807C8}" name="Data Issue" dataDxfId="5"/>
    <tableColumn id="3" xr3:uid="{527584CB-4AE8-464F-92C8-497A3870F834}" name="Location" dataDxfId="4"/>
    <tableColumn id="4" xr3:uid="{A06521D6-610A-47AD-AB60-5468B3244CCB}" name="Action Taken" dataDxfId="3"/>
    <tableColumn id="5" xr3:uid="{B7ED0F92-C80C-4508-8B06-07DBEEF1FE49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708F-4E39-4CB8-ADC6-2013DC9C2829}">
  <dimension ref="A1:K11"/>
  <sheetViews>
    <sheetView workbookViewId="0">
      <selection activeCell="E2" sqref="E2"/>
    </sheetView>
  </sheetViews>
  <sheetFormatPr defaultRowHeight="14.4" x14ac:dyDescent="0.3"/>
  <cols>
    <col min="2" max="2" width="11.88671875" customWidth="1"/>
    <col min="4" max="4" width="9.6640625" customWidth="1"/>
    <col min="5" max="5" width="10.33203125" bestFit="1" customWidth="1"/>
  </cols>
  <sheetData>
    <row r="1" spans="1:11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3" t="s">
        <v>9</v>
      </c>
    </row>
    <row r="2" spans="1:11" ht="28.8" x14ac:dyDescent="0.3">
      <c r="A2" s="1">
        <v>1001</v>
      </c>
      <c r="B2" s="4" t="s">
        <v>11</v>
      </c>
      <c r="C2" s="4" t="s">
        <v>12</v>
      </c>
      <c r="D2" s="4" t="s">
        <v>13</v>
      </c>
      <c r="E2" s="5">
        <v>46266</v>
      </c>
      <c r="F2" s="1">
        <v>2</v>
      </c>
      <c r="G2" s="1">
        <v>50000</v>
      </c>
      <c r="H2" s="1">
        <v>100000</v>
      </c>
      <c r="I2" s="1">
        <v>80000</v>
      </c>
      <c r="J2" s="1">
        <v>20000</v>
      </c>
      <c r="K2" s="4" t="s">
        <v>14</v>
      </c>
    </row>
    <row r="3" spans="1:11" ht="28.8" x14ac:dyDescent="0.3">
      <c r="A3" s="1">
        <v>1002</v>
      </c>
      <c r="B3" s="4" t="s">
        <v>15</v>
      </c>
      <c r="C3" s="4" t="s">
        <v>16</v>
      </c>
      <c r="D3" s="4" t="s">
        <v>13</v>
      </c>
      <c r="E3" s="5">
        <v>46267</v>
      </c>
      <c r="F3" s="1">
        <v>3</v>
      </c>
      <c r="G3" s="1">
        <v>800</v>
      </c>
      <c r="H3" s="1">
        <v>2400</v>
      </c>
      <c r="I3" s="1">
        <v>1500</v>
      </c>
      <c r="J3" s="1">
        <v>900</v>
      </c>
      <c r="K3" s="4" t="s">
        <v>14</v>
      </c>
    </row>
    <row r="4" spans="1:11" ht="28.8" x14ac:dyDescent="0.3">
      <c r="A4" s="1">
        <v>1003</v>
      </c>
      <c r="B4" s="4" t="s">
        <v>17</v>
      </c>
      <c r="C4" s="4" t="s">
        <v>18</v>
      </c>
      <c r="D4" s="4" t="s">
        <v>13</v>
      </c>
      <c r="E4" s="5">
        <v>46268</v>
      </c>
      <c r="F4" s="1">
        <v>1</v>
      </c>
      <c r="G4" s="1">
        <v>1500</v>
      </c>
      <c r="H4" s="1">
        <v>1500</v>
      </c>
      <c r="I4" s="1">
        <v>1000</v>
      </c>
      <c r="J4" s="1">
        <v>500</v>
      </c>
      <c r="K4" s="4" t="s">
        <v>19</v>
      </c>
    </row>
    <row r="5" spans="1:11" ht="28.8" x14ac:dyDescent="0.3">
      <c r="A5" s="1">
        <v>1003</v>
      </c>
      <c r="B5" s="4" t="s">
        <v>17</v>
      </c>
      <c r="C5" s="4" t="s">
        <v>18</v>
      </c>
      <c r="D5" s="4" t="s">
        <v>13</v>
      </c>
      <c r="E5" s="5">
        <v>46268</v>
      </c>
      <c r="F5" s="1">
        <v>1</v>
      </c>
      <c r="G5" s="1">
        <v>1500</v>
      </c>
      <c r="H5" s="1">
        <v>1500</v>
      </c>
      <c r="I5" s="1">
        <v>1000</v>
      </c>
      <c r="J5" s="1">
        <v>500</v>
      </c>
      <c r="K5" s="4" t="s">
        <v>19</v>
      </c>
    </row>
    <row r="6" spans="1:11" ht="28.8" x14ac:dyDescent="0.3">
      <c r="A6" s="1">
        <v>1004</v>
      </c>
      <c r="B6" s="4" t="s">
        <v>11</v>
      </c>
      <c r="C6" s="4" t="s">
        <v>20</v>
      </c>
      <c r="D6" s="4" t="s">
        <v>21</v>
      </c>
      <c r="E6" s="5">
        <v>46269</v>
      </c>
      <c r="F6" s="1"/>
      <c r="G6" s="1">
        <v>5000</v>
      </c>
      <c r="H6" s="1"/>
      <c r="I6" s="1">
        <v>3500</v>
      </c>
      <c r="J6" s="1"/>
      <c r="K6" s="4" t="s">
        <v>22</v>
      </c>
    </row>
    <row r="7" spans="1:11" ht="28.8" x14ac:dyDescent="0.3">
      <c r="A7" s="1">
        <v>1005</v>
      </c>
      <c r="B7" s="4" t="s">
        <v>23</v>
      </c>
      <c r="C7" s="4" t="s">
        <v>16</v>
      </c>
      <c r="D7" s="4" t="s">
        <v>13</v>
      </c>
      <c r="E7" s="5">
        <v>46270</v>
      </c>
      <c r="F7" s="1">
        <v>2</v>
      </c>
      <c r="G7" s="1">
        <v>800</v>
      </c>
      <c r="H7" s="1">
        <v>1600</v>
      </c>
      <c r="I7" s="1">
        <v>1000</v>
      </c>
      <c r="J7" s="1">
        <v>600</v>
      </c>
      <c r="K7" s="4" t="s">
        <v>24</v>
      </c>
    </row>
    <row r="8" spans="1:11" x14ac:dyDescent="0.3">
      <c r="A8" s="1">
        <v>1006</v>
      </c>
      <c r="B8" s="4" t="s">
        <v>25</v>
      </c>
      <c r="C8" s="4" t="s">
        <v>26</v>
      </c>
      <c r="D8" s="4" t="s">
        <v>21</v>
      </c>
      <c r="E8" s="5">
        <v>46271</v>
      </c>
      <c r="F8" s="1">
        <v>1</v>
      </c>
      <c r="G8" s="1">
        <v>7000</v>
      </c>
      <c r="H8" s="1">
        <v>7000</v>
      </c>
      <c r="I8" s="1">
        <v>5000</v>
      </c>
      <c r="J8" s="1">
        <v>2000</v>
      </c>
      <c r="K8" s="4" t="s">
        <v>27</v>
      </c>
    </row>
    <row r="9" spans="1:11" ht="28.8" x14ac:dyDescent="0.3">
      <c r="A9" s="1">
        <v>1007</v>
      </c>
      <c r="B9" s="4" t="s">
        <v>28</v>
      </c>
      <c r="C9" s="4" t="s">
        <v>29</v>
      </c>
      <c r="D9" s="4" t="s">
        <v>13</v>
      </c>
      <c r="E9" s="5">
        <v>46272</v>
      </c>
      <c r="F9" s="1">
        <v>2</v>
      </c>
      <c r="G9" s="1">
        <v>12000</v>
      </c>
      <c r="H9" s="1">
        <v>24000</v>
      </c>
      <c r="I9" s="1">
        <v>18000</v>
      </c>
      <c r="J9" s="1">
        <v>6000</v>
      </c>
      <c r="K9" s="4" t="s">
        <v>30</v>
      </c>
    </row>
    <row r="10" spans="1:11" x14ac:dyDescent="0.3">
      <c r="A10" s="1">
        <v>1008</v>
      </c>
      <c r="B10" s="4" t="s">
        <v>31</v>
      </c>
      <c r="C10" s="4" t="s">
        <v>20</v>
      </c>
      <c r="D10" s="4" t="s">
        <v>21</v>
      </c>
      <c r="E10" s="5">
        <v>46273</v>
      </c>
      <c r="F10" s="1">
        <v>1</v>
      </c>
      <c r="G10" s="1">
        <v>5000</v>
      </c>
      <c r="H10" s="1">
        <v>5000</v>
      </c>
      <c r="I10" s="1">
        <v>3500</v>
      </c>
      <c r="J10" s="1">
        <v>1500</v>
      </c>
      <c r="K10" s="4" t="s">
        <v>14</v>
      </c>
    </row>
    <row r="11" spans="1:11" ht="28.8" x14ac:dyDescent="0.3">
      <c r="A11" s="1">
        <v>1009</v>
      </c>
      <c r="B11" s="4" t="s">
        <v>11</v>
      </c>
      <c r="C11" s="4" t="s">
        <v>12</v>
      </c>
      <c r="D11" s="4" t="s">
        <v>13</v>
      </c>
      <c r="E11" s="5">
        <v>46274</v>
      </c>
      <c r="F11" s="1">
        <v>1</v>
      </c>
      <c r="G11" s="1">
        <v>50000</v>
      </c>
      <c r="H11" s="1">
        <v>50000</v>
      </c>
      <c r="I11" s="1">
        <v>40000</v>
      </c>
      <c r="J11" s="1">
        <v>10000</v>
      </c>
      <c r="K11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3223-B04C-4667-BEA8-C1F3A0EB950B}">
  <dimension ref="A1:M18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8" bestFit="1" customWidth="1"/>
    <col min="2" max="2" width="13.5546875" bestFit="1" customWidth="1"/>
    <col min="3" max="3" width="12.109375" bestFit="1" customWidth="1"/>
    <col min="4" max="4" width="13" bestFit="1" customWidth="1"/>
    <col min="5" max="5" width="10.33203125" bestFit="1" customWidth="1"/>
    <col min="6" max="6" width="8.33203125" bestFit="1" customWidth="1"/>
    <col min="7" max="7" width="8.6640625" customWidth="1"/>
    <col min="8" max="8" width="9.88671875" customWidth="1"/>
    <col min="9" max="9" width="9" bestFit="1" customWidth="1"/>
    <col min="10" max="10" width="11" customWidth="1"/>
    <col min="11" max="11" width="11.21875" bestFit="1" customWidth="1"/>
    <col min="12" max="12" width="33.109375" customWidth="1"/>
    <col min="13" max="13" width="29.6640625" customWidth="1"/>
  </cols>
  <sheetData>
    <row r="1" spans="1:13" ht="21" x14ac:dyDescent="0.4">
      <c r="A1" s="27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3" x14ac:dyDescent="0.3">
      <c r="A2" s="8" t="s">
        <v>42</v>
      </c>
      <c r="B2" s="9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10</v>
      </c>
      <c r="K2" s="9" t="s">
        <v>9</v>
      </c>
      <c r="L2" s="11" t="s">
        <v>33</v>
      </c>
      <c r="M2" s="7"/>
    </row>
    <row r="3" spans="1:13" x14ac:dyDescent="0.3">
      <c r="A3" s="12">
        <v>1001</v>
      </c>
      <c r="B3" s="13" t="s">
        <v>11</v>
      </c>
      <c r="C3" s="13" t="s">
        <v>12</v>
      </c>
      <c r="D3" s="13" t="s">
        <v>13</v>
      </c>
      <c r="E3" s="14">
        <v>46266</v>
      </c>
      <c r="F3" s="15">
        <v>2</v>
      </c>
      <c r="G3" s="34">
        <v>50000</v>
      </c>
      <c r="H3" s="34">
        <v>100000</v>
      </c>
      <c r="I3" s="34">
        <v>80000</v>
      </c>
      <c r="J3" s="34">
        <v>20000</v>
      </c>
      <c r="K3" s="13" t="s">
        <v>14</v>
      </c>
      <c r="L3" s="16" t="str">
        <f>IF(F3="","REVIEW - Missing Quantity","OK")</f>
        <v>OK</v>
      </c>
    </row>
    <row r="4" spans="1:13" x14ac:dyDescent="0.3">
      <c r="A4" s="17">
        <v>1002</v>
      </c>
      <c r="B4" s="18" t="s">
        <v>15</v>
      </c>
      <c r="C4" s="18" t="s">
        <v>16</v>
      </c>
      <c r="D4" s="18" t="s">
        <v>13</v>
      </c>
      <c r="E4" s="19">
        <v>46267</v>
      </c>
      <c r="F4" s="20">
        <v>3</v>
      </c>
      <c r="G4" s="35">
        <v>800</v>
      </c>
      <c r="H4" s="35">
        <v>2400</v>
      </c>
      <c r="I4" s="35">
        <v>1500</v>
      </c>
      <c r="J4" s="35">
        <v>900</v>
      </c>
      <c r="K4" s="18" t="s">
        <v>14</v>
      </c>
      <c r="L4" s="16" t="str">
        <f t="shared" ref="L4:L11" si="0">IF(F4="","REVIEW - Missing Quantity","OK")</f>
        <v>OK</v>
      </c>
    </row>
    <row r="5" spans="1:13" x14ac:dyDescent="0.3">
      <c r="A5" s="12">
        <v>1003</v>
      </c>
      <c r="B5" s="13" t="s">
        <v>34</v>
      </c>
      <c r="C5" s="13" t="s">
        <v>18</v>
      </c>
      <c r="D5" s="13" t="s">
        <v>13</v>
      </c>
      <c r="E5" s="21">
        <v>46268</v>
      </c>
      <c r="F5" s="15">
        <v>1</v>
      </c>
      <c r="G5" s="34">
        <v>1500</v>
      </c>
      <c r="H5" s="34">
        <v>1500</v>
      </c>
      <c r="I5" s="34">
        <v>1000</v>
      </c>
      <c r="J5" s="34">
        <v>500</v>
      </c>
      <c r="K5" s="13" t="s">
        <v>19</v>
      </c>
      <c r="L5" s="16" t="str">
        <f t="shared" si="0"/>
        <v>OK</v>
      </c>
    </row>
    <row r="6" spans="1:13" x14ac:dyDescent="0.3">
      <c r="A6" s="17">
        <v>1004</v>
      </c>
      <c r="B6" s="18" t="s">
        <v>11</v>
      </c>
      <c r="C6" s="18" t="s">
        <v>20</v>
      </c>
      <c r="D6" s="18" t="s">
        <v>21</v>
      </c>
      <c r="E6" s="19">
        <v>46269</v>
      </c>
      <c r="F6" s="22"/>
      <c r="G6" s="35">
        <v>5000</v>
      </c>
      <c r="H6" s="36" t="str">
        <f>IF(F6="","",F6*G6)</f>
        <v/>
      </c>
      <c r="I6" s="35">
        <v>3500</v>
      </c>
      <c r="J6" s="35" t="str">
        <f>IF(OR(H6="",I6=""),"",H6-I6)</f>
        <v/>
      </c>
      <c r="K6" s="18" t="s">
        <v>22</v>
      </c>
      <c r="L6" s="16" t="str">
        <f t="shared" si="0"/>
        <v>REVIEW - Missing Quantity</v>
      </c>
    </row>
    <row r="7" spans="1:13" x14ac:dyDescent="0.3">
      <c r="A7" s="12">
        <v>1005</v>
      </c>
      <c r="B7" s="13" t="s">
        <v>15</v>
      </c>
      <c r="C7" s="13" t="s">
        <v>16</v>
      </c>
      <c r="D7" s="13" t="s">
        <v>13</v>
      </c>
      <c r="E7" s="21">
        <v>46270</v>
      </c>
      <c r="F7" s="15">
        <v>2</v>
      </c>
      <c r="G7" s="34">
        <v>800</v>
      </c>
      <c r="H7" s="34">
        <v>1600</v>
      </c>
      <c r="I7" s="34">
        <v>1000</v>
      </c>
      <c r="J7" s="34">
        <v>600</v>
      </c>
      <c r="K7" s="13" t="s">
        <v>14</v>
      </c>
      <c r="L7" s="16" t="str">
        <f t="shared" si="0"/>
        <v>OK</v>
      </c>
    </row>
    <row r="8" spans="1:13" x14ac:dyDescent="0.3">
      <c r="A8" s="17">
        <v>1006</v>
      </c>
      <c r="B8" s="18" t="s">
        <v>25</v>
      </c>
      <c r="C8" s="18" t="s">
        <v>26</v>
      </c>
      <c r="D8" s="18" t="s">
        <v>21</v>
      </c>
      <c r="E8" s="19">
        <v>46271</v>
      </c>
      <c r="F8" s="20">
        <v>1</v>
      </c>
      <c r="G8" s="35">
        <v>7000</v>
      </c>
      <c r="H8" s="35">
        <v>7000</v>
      </c>
      <c r="I8" s="35">
        <v>5000</v>
      </c>
      <c r="J8" s="35">
        <v>2000</v>
      </c>
      <c r="K8" s="18" t="s">
        <v>27</v>
      </c>
      <c r="L8" s="16" t="str">
        <f t="shared" si="0"/>
        <v>OK</v>
      </c>
    </row>
    <row r="9" spans="1:13" x14ac:dyDescent="0.3">
      <c r="A9" s="12">
        <v>1007</v>
      </c>
      <c r="B9" s="13" t="s">
        <v>35</v>
      </c>
      <c r="C9" s="13" t="s">
        <v>29</v>
      </c>
      <c r="D9" s="13" t="s">
        <v>13</v>
      </c>
      <c r="E9" s="21">
        <v>46272</v>
      </c>
      <c r="F9" s="15">
        <v>2</v>
      </c>
      <c r="G9" s="34">
        <v>12000</v>
      </c>
      <c r="H9" s="34">
        <v>24000</v>
      </c>
      <c r="I9" s="34">
        <v>18000</v>
      </c>
      <c r="J9" s="34">
        <v>6000</v>
      </c>
      <c r="K9" s="13" t="s">
        <v>22</v>
      </c>
      <c r="L9" s="16" t="str">
        <f t="shared" si="0"/>
        <v>OK</v>
      </c>
    </row>
    <row r="10" spans="1:13" x14ac:dyDescent="0.3">
      <c r="A10" s="17">
        <v>1008</v>
      </c>
      <c r="B10" s="18" t="s">
        <v>31</v>
      </c>
      <c r="C10" s="18" t="s">
        <v>20</v>
      </c>
      <c r="D10" s="18" t="s">
        <v>21</v>
      </c>
      <c r="E10" s="19">
        <v>46273</v>
      </c>
      <c r="F10" s="20">
        <v>1</v>
      </c>
      <c r="G10" s="35">
        <v>5000</v>
      </c>
      <c r="H10" s="35">
        <v>5000</v>
      </c>
      <c r="I10" s="35">
        <v>3500</v>
      </c>
      <c r="J10" s="35">
        <v>1500</v>
      </c>
      <c r="K10" s="18" t="s">
        <v>14</v>
      </c>
      <c r="L10" s="16" t="str">
        <f t="shared" si="0"/>
        <v>OK</v>
      </c>
    </row>
    <row r="11" spans="1:13" x14ac:dyDescent="0.3">
      <c r="A11" s="23">
        <v>1009</v>
      </c>
      <c r="B11" s="24" t="s">
        <v>11</v>
      </c>
      <c r="C11" s="24" t="s">
        <v>12</v>
      </c>
      <c r="D11" s="24" t="s">
        <v>13</v>
      </c>
      <c r="E11" s="25">
        <v>46274</v>
      </c>
      <c r="F11" s="26">
        <v>1</v>
      </c>
      <c r="G11" s="37">
        <v>50000</v>
      </c>
      <c r="H11" s="37">
        <v>50000</v>
      </c>
      <c r="I11" s="37">
        <v>40000</v>
      </c>
      <c r="J11" s="37">
        <v>10000</v>
      </c>
      <c r="K11" s="24" t="s">
        <v>14</v>
      </c>
      <c r="L11" s="16" t="str">
        <f t="shared" si="0"/>
        <v>OK</v>
      </c>
    </row>
    <row r="14" spans="1:13" x14ac:dyDescent="0.3">
      <c r="L14" s="6" t="s">
        <v>36</v>
      </c>
      <c r="M14" s="6"/>
    </row>
    <row r="15" spans="1:13" x14ac:dyDescent="0.3">
      <c r="L15" s="6" t="s">
        <v>37</v>
      </c>
      <c r="M15" s="6">
        <f>COUNTA(A3:A11)</f>
        <v>9</v>
      </c>
    </row>
    <row r="16" spans="1:13" x14ac:dyDescent="0.3">
      <c r="L16" s="6" t="s">
        <v>38</v>
      </c>
      <c r="M16" s="6">
        <f>1</f>
        <v>1</v>
      </c>
    </row>
    <row r="17" spans="12:13" x14ac:dyDescent="0.3">
      <c r="L17" s="6" t="s">
        <v>39</v>
      </c>
      <c r="M17" s="6">
        <f>COUNTBLANK(F3:F11)</f>
        <v>1</v>
      </c>
    </row>
    <row r="18" spans="12:13" x14ac:dyDescent="0.3">
      <c r="L18" s="6" t="s">
        <v>40</v>
      </c>
      <c r="M18" s="6">
        <f>COUNTIF(L3:L11,"REVIEW*")</f>
        <v>1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FB8B-7E79-45CF-BBAE-E3695957F8D1}">
  <dimension ref="A1:A26"/>
  <sheetViews>
    <sheetView tabSelected="1" workbookViewId="0">
      <selection activeCell="A25" sqref="A25"/>
    </sheetView>
  </sheetViews>
  <sheetFormatPr defaultRowHeight="14.4" x14ac:dyDescent="0.3"/>
  <cols>
    <col min="1" max="1" width="61.88671875" customWidth="1"/>
    <col min="2" max="2" width="34.33203125" customWidth="1"/>
  </cols>
  <sheetData>
    <row r="1" spans="1:1" ht="23.4" x14ac:dyDescent="0.45">
      <c r="A1" s="28" t="s">
        <v>43</v>
      </c>
    </row>
    <row r="3" spans="1:1" x14ac:dyDescent="0.3">
      <c r="A3" s="31" t="s">
        <v>44</v>
      </c>
    </row>
    <row r="4" spans="1:1" ht="28.8" x14ac:dyDescent="0.3">
      <c r="A4" s="30" t="s">
        <v>45</v>
      </c>
    </row>
    <row r="6" spans="1:1" x14ac:dyDescent="0.3">
      <c r="A6" s="31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10" spans="1:1" x14ac:dyDescent="0.3">
      <c r="A10" s="31" t="s">
        <v>49</v>
      </c>
    </row>
    <row r="11" spans="1:1" x14ac:dyDescent="0.3">
      <c r="A11" t="s">
        <v>50</v>
      </c>
    </row>
    <row r="12" spans="1:1" x14ac:dyDescent="0.3">
      <c r="A12" t="s">
        <v>51</v>
      </c>
    </row>
    <row r="13" spans="1:1" x14ac:dyDescent="0.3">
      <c r="A13" t="s">
        <v>52</v>
      </c>
    </row>
    <row r="14" spans="1:1" x14ac:dyDescent="0.3">
      <c r="A14" t="s">
        <v>53</v>
      </c>
    </row>
    <row r="15" spans="1:1" x14ac:dyDescent="0.3">
      <c r="A15" s="4"/>
    </row>
    <row r="16" spans="1:1" x14ac:dyDescent="0.3">
      <c r="A16" s="31" t="s">
        <v>54</v>
      </c>
    </row>
    <row r="17" spans="1:1" ht="28.8" x14ac:dyDescent="0.3">
      <c r="A17" s="30" t="s">
        <v>55</v>
      </c>
    </row>
    <row r="18" spans="1:1" x14ac:dyDescent="0.3">
      <c r="A18" s="4"/>
    </row>
    <row r="19" spans="1:1" x14ac:dyDescent="0.3">
      <c r="A19" s="29" t="s">
        <v>72</v>
      </c>
    </row>
    <row r="20" spans="1:1" x14ac:dyDescent="0.3">
      <c r="A20" t="s">
        <v>73</v>
      </c>
    </row>
    <row r="21" spans="1:1" x14ac:dyDescent="0.3">
      <c r="A21" t="s">
        <v>74</v>
      </c>
    </row>
    <row r="22" spans="1:1" x14ac:dyDescent="0.3">
      <c r="A22" t="s">
        <v>75</v>
      </c>
    </row>
    <row r="23" spans="1:1" x14ac:dyDescent="0.3">
      <c r="A23" t="s">
        <v>76</v>
      </c>
    </row>
    <row r="25" spans="1:1" x14ac:dyDescent="0.3">
      <c r="A25" s="29" t="s">
        <v>77</v>
      </c>
    </row>
    <row r="26" spans="1:1" x14ac:dyDescent="0.3">
      <c r="A26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B2A5-C13D-47C3-9C97-90977A917746}">
  <dimension ref="A1:E5"/>
  <sheetViews>
    <sheetView workbookViewId="0">
      <selection activeCell="P7" sqref="P7"/>
    </sheetView>
  </sheetViews>
  <sheetFormatPr defaultRowHeight="14.4" x14ac:dyDescent="0.3"/>
  <cols>
    <col min="1" max="1" width="12.6640625" customWidth="1"/>
    <col min="2" max="2" width="20" customWidth="1"/>
    <col min="3" max="3" width="13" customWidth="1"/>
    <col min="4" max="4" width="19.21875" customWidth="1"/>
    <col min="5" max="5" width="10.44140625" customWidth="1"/>
  </cols>
  <sheetData>
    <row r="1" spans="1:5" x14ac:dyDescent="0.3">
      <c r="A1" s="33" t="s">
        <v>56</v>
      </c>
      <c r="B1" s="33" t="s">
        <v>57</v>
      </c>
      <c r="C1" s="33" t="s">
        <v>58</v>
      </c>
      <c r="D1" s="33" t="s">
        <v>59</v>
      </c>
      <c r="E1" s="33" t="s">
        <v>60</v>
      </c>
    </row>
    <row r="2" spans="1:5" x14ac:dyDescent="0.3">
      <c r="A2" s="32"/>
      <c r="B2" s="32"/>
      <c r="C2" s="32"/>
      <c r="D2" s="32"/>
      <c r="E2" s="32"/>
    </row>
    <row r="3" spans="1:5" ht="28.8" x14ac:dyDescent="0.3">
      <c r="A3" s="4">
        <v>1</v>
      </c>
      <c r="B3" s="4" t="s">
        <v>61</v>
      </c>
      <c r="C3" s="4" t="s">
        <v>62</v>
      </c>
      <c r="D3" s="4" t="s">
        <v>63</v>
      </c>
      <c r="E3" s="4" t="s">
        <v>64</v>
      </c>
    </row>
    <row r="4" spans="1:5" ht="28.8" x14ac:dyDescent="0.3">
      <c r="A4" s="4">
        <v>2</v>
      </c>
      <c r="B4" s="4" t="s">
        <v>65</v>
      </c>
      <c r="C4" s="4" t="s">
        <v>66</v>
      </c>
      <c r="D4" s="4" t="s">
        <v>67</v>
      </c>
      <c r="E4" s="4" t="s">
        <v>68</v>
      </c>
    </row>
    <row r="5" spans="1:5" ht="43.2" x14ac:dyDescent="0.3">
      <c r="A5" s="4">
        <v>3</v>
      </c>
      <c r="B5" s="4" t="s">
        <v>69</v>
      </c>
      <c r="C5" s="4" t="s">
        <v>70</v>
      </c>
      <c r="D5" s="4" t="s">
        <v>71</v>
      </c>
      <c r="E5" s="4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README</vt:lpstr>
      <vt:lpstr>CLEANING_LOG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 dharani</dc:creator>
  <cp:lastModifiedBy>Kavi dharani</cp:lastModifiedBy>
  <dcterms:created xsi:type="dcterms:W3CDTF">2026-10-01T13:44:35Z</dcterms:created>
  <dcterms:modified xsi:type="dcterms:W3CDTF">2026-10-03T06:57:06Z</dcterms:modified>
</cp:coreProperties>
</file>